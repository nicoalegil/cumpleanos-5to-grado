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nicolas/Downloads/"/>
    </mc:Choice>
  </mc:AlternateContent>
  <xr:revisionPtr revIDLastSave="0" documentId="8_{D861AD3F-00DC-F54D-862D-69E467F07BF0}" xr6:coauthVersionLast="47" xr6:coauthVersionMax="47" xr10:uidLastSave="{00000000-0000-0000-0000-000000000000}"/>
  <bookViews>
    <workbookView xWindow="0" yWindow="600" windowWidth="23260" windowHeight="12460" tabRatio="701" xr2:uid="{00000000-000D-0000-FFFF-FFFF00000000}"/>
  </bookViews>
  <sheets>
    <sheet name="Cumples + datos bancarios" sheetId="7" r:id="rId1"/>
    <sheet name="Fechas de cumples 2026" sheetId="3" r:id="rId2"/>
  </sheets>
  <definedNames>
    <definedName name="_xlnm._FilterDatabase" localSheetId="0" hidden="1">'Cumples + datos bancarios'!$A$2:$J$24</definedName>
    <definedName name="_xlnm._FilterDatabase" localSheetId="1" hidden="1">'Fechas de cumples 2026'!$A$1:$F$17</definedName>
    <definedName name="_xlnm.Print_Area" localSheetId="0">'Cumples + datos bancarios'!$A$1:$J$24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  <c r="B21" i="7"/>
  <c r="D10" i="3"/>
  <c r="B10" i="7"/>
  <c r="D24" i="3"/>
  <c r="B25" i="7"/>
  <c r="B18" i="7"/>
  <c r="B6" i="7"/>
  <c r="B17" i="7"/>
  <c r="D7" i="3"/>
  <c r="D8" i="3"/>
  <c r="D17" i="3"/>
  <c r="B4" i="7"/>
  <c r="D3" i="3"/>
  <c r="B12" i="7"/>
  <c r="D11" i="3"/>
  <c r="D22" i="3"/>
  <c r="D14" i="3"/>
  <c r="B23" i="7" l="1"/>
  <c r="B15" i="7"/>
  <c r="B13" i="7"/>
  <c r="B11" i="7"/>
  <c r="B24" i="7"/>
  <c r="B22" i="7"/>
  <c r="B20" i="7"/>
  <c r="B19" i="7"/>
  <c r="B16" i="7"/>
  <c r="B14" i="7"/>
  <c r="B9" i="7"/>
  <c r="B8" i="7"/>
  <c r="B7" i="7"/>
  <c r="B5" i="7"/>
  <c r="B3" i="7"/>
  <c r="D15" i="3"/>
  <c r="D2" i="3" l="1"/>
  <c r="D4" i="3"/>
  <c r="D5" i="3"/>
  <c r="D6" i="3"/>
  <c r="D9" i="3"/>
  <c r="D12" i="3"/>
  <c r="D13" i="3"/>
  <c r="D16" i="3"/>
  <c r="D18" i="3"/>
  <c r="D19" i="3"/>
  <c r="D21" i="3"/>
  <c r="D23" i="3"/>
</calcChain>
</file>

<file path=xl/sharedStrings.xml><?xml version="1.0" encoding="utf-8"?>
<sst xmlns="http://schemas.openxmlformats.org/spreadsheetml/2006/main" count="245" uniqueCount="221">
  <si>
    <r>
      <rPr>
        <b/>
        <u val="double"/>
        <sz val="11"/>
        <rFont val="Aptos"/>
        <family val="2"/>
      </rPr>
      <t>5º GRADO "A"</t>
    </r>
    <r>
      <rPr>
        <b/>
        <sz val="11"/>
        <rFont val="Aptos"/>
        <family val="2"/>
      </rPr>
      <t xml:space="preserve">  -  AÑO: 2026</t>
    </r>
  </si>
  <si>
    <t>DATOS CUENTA BANCARIAS</t>
  </si>
  <si>
    <t>Alumno</t>
  </si>
  <si>
    <t>Mes</t>
  </si>
  <si>
    <t>Cumple</t>
  </si>
  <si>
    <t>Nombre de la Mamá/Papá</t>
  </si>
  <si>
    <t>CBU</t>
  </si>
  <si>
    <t>ALIAS</t>
  </si>
  <si>
    <t>Banco</t>
  </si>
  <si>
    <t>Tipo y  cuenta</t>
  </si>
  <si>
    <t>Titular</t>
  </si>
  <si>
    <t>CUIT/DNI</t>
  </si>
  <si>
    <t>Santiago Benjamin BLANCO TORRALBA</t>
  </si>
  <si>
    <t xml:space="preserve">Soledad </t>
  </si>
  <si>
    <t>CBU: 0170346540000041755329</t>
  </si>
  <si>
    <t>santibb2016</t>
  </si>
  <si>
    <t>BBVA</t>
  </si>
  <si>
    <t>CA $ 346-417553/2</t>
  </si>
  <si>
    <t>TORRALBA SOLEDAD</t>
  </si>
  <si>
    <t>27-26690949-2</t>
  </si>
  <si>
    <t>Jean Brandon PEREZ VALLEJO</t>
  </si>
  <si>
    <t xml:space="preserve">Miguel </t>
  </si>
  <si>
    <t>CVU: 0000003100049842116799</t>
  </si>
  <si>
    <t>MP</t>
  </si>
  <si>
    <t>Miguel Enrique Perez Castillo</t>
  </si>
  <si>
    <t>20-94431507-2</t>
  </si>
  <si>
    <t>Sophie SOLIGNAC</t>
  </si>
  <si>
    <t xml:space="preserve">Lorena </t>
  </si>
  <si>
    <t>CVU: 0000003100036891160020</t>
  </si>
  <si>
    <t>futuremoney.mp</t>
  </si>
  <si>
    <t>Mercado Pago</t>
  </si>
  <si>
    <t>Lorena Daniela Rodriguez</t>
  </si>
  <si>
    <t>27-25855482-0</t>
  </si>
  <si>
    <t>Simón KARSZ</t>
  </si>
  <si>
    <t xml:space="preserve">Marcia </t>
  </si>
  <si>
    <t>CBU: 0140019903401904676851</t>
  </si>
  <si>
    <t>BEBE.LORO.POZO</t>
  </si>
  <si>
    <t>PROVINCIA BS.AS.</t>
  </si>
  <si>
    <t>CA $ 4019-46768/5</t>
  </si>
  <si>
    <t>MARCIA ANDREA,PICETTI SALVO</t>
  </si>
  <si>
    <t>27-28857492-3</t>
  </si>
  <si>
    <t xml:space="preserve">Cruz SERRA OYUELA </t>
  </si>
  <si>
    <t>Leo</t>
  </si>
  <si>
    <t>CBU: 0720000788000016588190</t>
  </si>
  <si>
    <t>Leoserra</t>
  </si>
  <si>
    <t>SANTANDER</t>
  </si>
  <si>
    <t>-</t>
  </si>
  <si>
    <t>Serra Niccolls Leonardo Jose</t>
  </si>
  <si>
    <t>20-18859991-6</t>
  </si>
  <si>
    <t>Emilia MALIKOVA</t>
  </si>
  <si>
    <t>Elena</t>
  </si>
  <si>
    <t>CBU: 0000003100009773904348</t>
  </si>
  <si>
    <t>elena.776.diurno.mp</t>
  </si>
  <si>
    <t>Elena Malikova</t>
  </si>
  <si>
    <t>27-96406776-2</t>
  </si>
  <si>
    <t>Ambar MMARILUNGO</t>
  </si>
  <si>
    <t>Maira</t>
  </si>
  <si>
    <t>CVU: 0000003100057509403717</t>
  </si>
  <si>
    <t>pm.porotos</t>
  </si>
  <si>
    <t>Maira Sabrina Goytia</t>
  </si>
  <si>
    <t>27-30735992-3</t>
  </si>
  <si>
    <t>CBU: 0070234030004051988114</t>
  </si>
  <si>
    <t>GRABARROS.GAL</t>
  </si>
  <si>
    <t>GALICIA</t>
  </si>
  <si>
    <t>CA $</t>
  </si>
  <si>
    <t>27-25368798-9</t>
  </si>
  <si>
    <t>Francesca PRIETO MORI</t>
  </si>
  <si>
    <t>Natalia</t>
  </si>
  <si>
    <t>CBU: 2850540440094039620858</t>
  </si>
  <si>
    <t>natalia79macro</t>
  </si>
  <si>
    <t>MACRO</t>
  </si>
  <si>
    <t>CA $...2085</t>
  </si>
  <si>
    <t>Mori Natalia Vanesa</t>
  </si>
  <si>
    <t>27-27601943-6</t>
  </si>
  <si>
    <t>Joaquin GIL MOLINA</t>
  </si>
  <si>
    <t>Alina</t>
  </si>
  <si>
    <t>CBU: 0110016730001610858965</t>
  </si>
  <si>
    <t>alina.molina</t>
  </si>
  <si>
    <t>BNA+</t>
  </si>
  <si>
    <t>CA $ 00660161085896</t>
  </si>
  <si>
    <t>Alina Laura Molina</t>
  </si>
  <si>
    <t>27-26472242-5</t>
  </si>
  <si>
    <t>Valentina BERTONAZZI</t>
  </si>
  <si>
    <t xml:space="preserve">Belen </t>
  </si>
  <si>
    <t>CBU: 0170019020000001062388</t>
  </si>
  <si>
    <t>MUNDOHARINAVIRTUAL</t>
  </si>
  <si>
    <t>Cuenta Corriente</t>
  </si>
  <si>
    <t>Bertonazzi Daniel Alfred</t>
  </si>
  <si>
    <t>20-17802621-7</t>
  </si>
  <si>
    <t>Gael LUX</t>
  </si>
  <si>
    <t xml:space="preserve">Vero </t>
  </si>
  <si>
    <t>CBU: 0170101840000005858282</t>
  </si>
  <si>
    <t>MANERA.LOMA.ARCO</t>
  </si>
  <si>
    <t>CA $ 101-58582/8</t>
  </si>
  <si>
    <t>FOLLONIER GRACIELA</t>
  </si>
  <si>
    <t>27-26821262-6</t>
  </si>
  <si>
    <t>Federico BELEN</t>
  </si>
  <si>
    <t>Gabriela</t>
  </si>
  <si>
    <t>CBU: 0170182740000031714961</t>
  </si>
  <si>
    <t>G.MARECHAL</t>
  </si>
  <si>
    <t>MARECHAL GABRIELA</t>
  </si>
  <si>
    <t>27-26372280-4</t>
  </si>
  <si>
    <t>Benjamin LOPEZ HOGREFE</t>
  </si>
  <si>
    <t xml:space="preserve">Sergio </t>
  </si>
  <si>
    <t xml:space="preserve">CBU: 0720166688000001391686 </t>
  </si>
  <si>
    <t>CUBETA.ALTURA.ASTRO</t>
  </si>
  <si>
    <t>CA $ 166-013916/8</t>
  </si>
  <si>
    <t>Lopez Sergio Daniel</t>
  </si>
  <si>
    <t>DNI - 28030162</t>
  </si>
  <si>
    <t>Avril GONZALEZ PARADA</t>
  </si>
  <si>
    <t xml:space="preserve">Norma </t>
  </si>
  <si>
    <t>CBU: 0720197088000002945554</t>
  </si>
  <si>
    <t>MADRID.SOMBRA.FLAUTA</t>
  </si>
  <si>
    <t>CA $ 197-029455/5</t>
  </si>
  <si>
    <t>Norma Ines Parada Sanchez</t>
  </si>
  <si>
    <t>27-95911490-6</t>
  </si>
  <si>
    <t>Anita SANTIAGO</t>
  </si>
  <si>
    <t xml:space="preserve">Valeria </t>
  </si>
  <si>
    <t>CBU: 0720413988000001633236</t>
  </si>
  <si>
    <t>TROTE AYUNO.ALTURA</t>
  </si>
  <si>
    <t>Guastini Valeria</t>
  </si>
  <si>
    <t>23-22707961-4</t>
  </si>
  <si>
    <t>Priya DE BELLO</t>
  </si>
  <si>
    <t xml:space="preserve">Ingrid </t>
  </si>
  <si>
    <t>CBU: 0140014403401451487908</t>
  </si>
  <si>
    <t>SERIE.MOSCU.NAIPE</t>
  </si>
  <si>
    <t>CA $ 4014-514879/0</t>
  </si>
  <si>
    <t>ELBA INGRID,ORELLANO</t>
  </si>
  <si>
    <t>27-25350401-9</t>
  </si>
  <si>
    <t>Agustina MASTROMARINO</t>
  </si>
  <si>
    <t>Jorge /Vivi</t>
  </si>
  <si>
    <t>CBU: 0170304540000036449079</t>
  </si>
  <si>
    <t>PLAYA.ETER.PAPEL</t>
  </si>
  <si>
    <t>Caja de Ahorro</t>
  </si>
  <si>
    <t xml:space="preserve">Mastromarino Jorge </t>
  </si>
  <si>
    <t>20-23783128-5</t>
  </si>
  <si>
    <t>Eva DODERO ARIAS</t>
  </si>
  <si>
    <t>Agustina / Jorge</t>
  </si>
  <si>
    <t xml:space="preserve">CBU: 0720176588000036097618 </t>
  </si>
  <si>
    <t>ACEITE.OBOE.LANA</t>
  </si>
  <si>
    <t>CA $ 176-360976/1</t>
  </si>
  <si>
    <t>Arias Almonacid Jorge Rolando</t>
  </si>
  <si>
    <t>DNI - 28075928</t>
  </si>
  <si>
    <t>Leonel Alejandro, ALBARENGA CAGGIANO</t>
  </si>
  <si>
    <t>Alejandro / BarbI</t>
  </si>
  <si>
    <t>CBU: 0170035040000001620360</t>
  </si>
  <si>
    <t>MIEL.RULO.RAYO</t>
  </si>
  <si>
    <t>Albarenga Alejandro</t>
  </si>
  <si>
    <t>20-29129692-1</t>
  </si>
  <si>
    <t>Isabella BLANCO PEREZ</t>
  </si>
  <si>
    <t>Silvana / Fernando</t>
  </si>
  <si>
    <t xml:space="preserve">CBU: 0720055788000037300304 </t>
  </si>
  <si>
    <t>silvanadelourdes</t>
  </si>
  <si>
    <t>CA $ 055-373003/0</t>
  </si>
  <si>
    <t>Perez Silvana De Lourdes</t>
  </si>
  <si>
    <t>27-31146305-0</t>
  </si>
  <si>
    <t>Lina Ñancucheu</t>
  </si>
  <si>
    <t>Flor</t>
  </si>
  <si>
    <t>CBU: 0150925401000125408715</t>
  </si>
  <si>
    <t>LAMINA.AFRICA.ASTRO</t>
  </si>
  <si>
    <t>ICBC</t>
  </si>
  <si>
    <t>CA $ 0925/01125408/71</t>
  </si>
  <si>
    <t>Adrian Gustavo Ñancucheu</t>
  </si>
  <si>
    <t>20-26529897-5</t>
  </si>
  <si>
    <t>Cant.</t>
  </si>
  <si>
    <t>Columna1</t>
  </si>
  <si>
    <t>Fecha de Cumple</t>
  </si>
  <si>
    <t>Nombre de la mamá/Papá</t>
  </si>
  <si>
    <t>SANTIAGO BLANCO TORRALBA</t>
  </si>
  <si>
    <t>Soledad</t>
  </si>
  <si>
    <t>BRANDON PEREZ VALLEJO</t>
  </si>
  <si>
    <t>Miguel</t>
  </si>
  <si>
    <t>SOPHIE SOLIGNAC</t>
  </si>
  <si>
    <t>Lorena / Alejandro</t>
  </si>
  <si>
    <t>SIMON KARSZ</t>
  </si>
  <si>
    <t>Marcia / Ezequiel</t>
  </si>
  <si>
    <t>CRUZ SERRA OYUELA</t>
  </si>
  <si>
    <t>Victoria / Leo</t>
  </si>
  <si>
    <t>EMILIA MALIKOVA</t>
  </si>
  <si>
    <t>AMBAR MMARILUNGO</t>
  </si>
  <si>
    <t>Maira / Sebas</t>
  </si>
  <si>
    <t>FRANCESCA PRIETO MORI</t>
  </si>
  <si>
    <t>Natalia / Sergio</t>
  </si>
  <si>
    <t>RENATA BARROS</t>
  </si>
  <si>
    <t>Graciela y Victor</t>
  </si>
  <si>
    <t>JOAQUIN GIL MOLINA</t>
  </si>
  <si>
    <t>Alina / Nico</t>
  </si>
  <si>
    <t>VALENTINA BERTONAZZI</t>
  </si>
  <si>
    <t>Belen / Dany</t>
  </si>
  <si>
    <t>GAEL LUX</t>
  </si>
  <si>
    <t>Vero</t>
  </si>
  <si>
    <t>FEDERICO BELEN</t>
  </si>
  <si>
    <t>Gabriela/Gabriel</t>
  </si>
  <si>
    <t>BENJAMIN LOPEZ HOGREFE</t>
  </si>
  <si>
    <t>Sergio / Romi</t>
  </si>
  <si>
    <t>AVRIL GONZALEZ PARADA</t>
  </si>
  <si>
    <t>Norma</t>
  </si>
  <si>
    <t>ANITA SANTIAGO</t>
  </si>
  <si>
    <t>Valeria</t>
  </si>
  <si>
    <t>PRIYA DE BELLO</t>
  </si>
  <si>
    <t>Ingrid / Luis</t>
  </si>
  <si>
    <t>AGUSTINA MASTROMARINO</t>
  </si>
  <si>
    <t>Viviana / Jorge</t>
  </si>
  <si>
    <t>EVA DODERO ARIAS</t>
  </si>
  <si>
    <t>Agustina /Jorge</t>
  </si>
  <si>
    <t>LEONEL ALBARENGA CAGGIANO</t>
  </si>
  <si>
    <t>Barbara/Alejandro</t>
  </si>
  <si>
    <t>ISABELLA BLANCO PEREZ</t>
  </si>
  <si>
    <t>Silvana/Fernando</t>
  </si>
  <si>
    <t>LINA ÑANCUCHEU</t>
  </si>
  <si>
    <t>Florencia</t>
  </si>
  <si>
    <t>Renata JUAREZ</t>
  </si>
  <si>
    <t>Graciela/Victor</t>
  </si>
  <si>
    <t>Graciela Del Rosario Barros</t>
  </si>
  <si>
    <t>MAIA</t>
  </si>
  <si>
    <t>Romina</t>
  </si>
  <si>
    <t>CBU: 0170196440000001108480</t>
  </si>
  <si>
    <t>ROMINACORREABBVA</t>
  </si>
  <si>
    <t>CORREA ROMINA</t>
  </si>
  <si>
    <t>27-33400012-0</t>
  </si>
  <si>
    <t>CA 196-11084/8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</si>
</sst>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b/>
      <u val="double"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</cellStyleXfs>
  <cellXfs count="34">
    <xf numFmtId="0" fontId="0" fillId="0" borderId="0" xfId="0"/>
    <xf numFmtId="0" fontId="6" fillId="0" borderId="0" xfId="0" applyFont="1"/>
    <xf numFmtId="0" fontId="6" fillId="0" borderId="0" xfId="5" applyFont="1" applyFill="1" applyBorder="1" applyAlignment="1">
      <alignment horizontal="center" vertical="top" wrapText="1"/>
    </xf>
    <xf numFmtId="164" fontId="6" fillId="0" borderId="0" xfId="5" applyNumberFormat="1" applyFont="1" applyFill="1" applyBorder="1" applyAlignment="1">
      <alignment horizontal="center" vertical="top" wrapText="1"/>
    </xf>
    <xf numFmtId="0" fontId="6" fillId="6" borderId="2" xfId="5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4" fontId="6" fillId="0" borderId="0" xfId="0" applyNumberFormat="1" applyFont="1"/>
    <xf numFmtId="0" fontId="6" fillId="0" borderId="0" xfId="5" applyFont="1" applyFill="1" applyAlignment="1">
      <alignment horizontal="center" vertical="top" wrapText="1"/>
    </xf>
    <xf numFmtId="164" fontId="6" fillId="0" borderId="0" xfId="5" applyNumberFormat="1" applyFont="1" applyFill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164" fontId="7" fillId="7" borderId="1" xfId="0" applyNumberFormat="1" applyFont="1" applyFill="1" applyBorder="1" applyAlignment="1">
      <alignment horizontal="center" vertical="top" wrapText="1"/>
    </xf>
    <xf numFmtId="0" fontId="7" fillId="7" borderId="1" xfId="2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5" borderId="1" xfId="3" applyFont="1" applyFill="1" applyBorder="1" applyAlignment="1">
      <alignment vertical="center" wrapText="1"/>
    </xf>
    <xf numFmtId="0" fontId="8" fillId="5" borderId="1" xfId="3" applyFont="1" applyFill="1" applyBorder="1" applyAlignment="1">
      <alignment horizontal="center" vertical="center" wrapText="1"/>
    </xf>
    <xf numFmtId="164" fontId="8" fillId="5" borderId="1" xfId="3" applyNumberFormat="1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5" borderId="1" xfId="4" applyFont="1" applyAlignment="1">
      <alignment vertical="center" wrapText="1"/>
    </xf>
    <xf numFmtId="0" fontId="8" fillId="5" borderId="1" xfId="4" applyFont="1" applyAlignment="1">
      <alignment horizontal="left" vertical="center" wrapText="1"/>
    </xf>
    <xf numFmtId="164" fontId="8" fillId="5" borderId="1" xfId="4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vertical="center"/>
    </xf>
    <xf numFmtId="0" fontId="7" fillId="7" borderId="3" xfId="1" applyFont="1" applyFill="1" applyBorder="1" applyAlignment="1">
      <alignment vertical="center"/>
    </xf>
    <xf numFmtId="0" fontId="7" fillId="5" borderId="1" xfId="4" applyFont="1" applyAlignment="1">
      <alignment vertical="center" wrapText="1"/>
    </xf>
    <xf numFmtId="0" fontId="3" fillId="0" borderId="0" xfId="5" applyFont="1" applyFill="1" applyBorder="1" applyAlignment="1">
      <alignment horizontal="center" vertical="top" wrapText="1"/>
    </xf>
    <xf numFmtId="164" fontId="3" fillId="0" borderId="0" xfId="5" applyNumberFormat="1" applyFont="1" applyFill="1" applyBorder="1" applyAlignment="1">
      <alignment horizontal="center" vertical="top" wrapText="1"/>
    </xf>
  </cellXfs>
  <cellStyles count="6">
    <cellStyle name="20% - Accent6" xfId="5" builtinId="50"/>
    <cellStyle name="40% - Accent1" xfId="2" builtinId="31"/>
    <cellStyle name="Accent1" xfId="1" builtinId="29"/>
    <cellStyle name="Calculation" xfId="4" builtinId="22"/>
    <cellStyle name="Heading 4" xfId="3" builtinId="19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E1AB0-7E89-4AA4-ACC9-95862B1F4C74}" name="Tabla3" displayName="Tabla3" ref="B1:F24" totalsRowShown="0" headerRowDxfId="6" dataDxfId="5">
  <autoFilter ref="B1:F24" xr:uid="{75CE1AB0-7E89-4AA4-ACC9-95862B1F4C74}"/>
  <sortState xmlns:xlrd2="http://schemas.microsoft.com/office/spreadsheetml/2017/richdata2" ref="B2:F23">
    <sortCondition ref="E2:E23"/>
  </sortState>
  <tableColumns count="5">
    <tableColumn id="1" xr3:uid="{C3E81213-7381-4C82-B828-3F9F4D1981C2}" name="Columna1" dataDxfId="4"/>
    <tableColumn id="2" xr3:uid="{C45BD941-CFBB-4415-A933-299C11596B10}" name="Alumno" dataDxfId="3"/>
    <tableColumn id="3" xr3:uid="{05ABAF3A-C910-43D9-B47F-091CE49377F5}" name="Mes" dataDxfId="2">
      <calculatedColumnFormula>MONTH(E2)</calculatedColumnFormula>
    </tableColumn>
    <tableColumn id="4" xr3:uid="{8E8D3444-BEE4-419F-AFDD-E6854F49D765}" name="Fecha de Cumple" dataDxfId="1"/>
    <tableColumn id="5" xr3:uid="{4188E1E1-886D-4F08-810A-A201139193F1}" name="Nombre de la mamá/Papá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6D9A-B0A6-4E1B-BC3E-A9B660757A5C}">
  <sheetPr>
    <pageSetUpPr fitToPage="1"/>
  </sheetPr>
  <dimension ref="A1:J25"/>
  <sheetViews>
    <sheetView showGridLines="0" tabSelected="1" zoomScale="79" zoomScaleNormal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21" sqref="A21"/>
    </sheetView>
  </sheetViews>
  <sheetFormatPr baseColWidth="10" defaultColWidth="11.5" defaultRowHeight="15" x14ac:dyDescent="0.2"/>
  <cols>
    <col min="1" max="1" width="40.33203125" style="23" customWidth="1"/>
    <col min="2" max="2" width="9.5" style="24" customWidth="1"/>
    <col min="3" max="3" width="33.1640625" style="25" customWidth="1"/>
    <col min="4" max="4" width="17.83203125" style="23" customWidth="1"/>
    <col min="5" max="5" width="32.1640625" style="23" customWidth="1"/>
    <col min="6" max="6" width="25.83203125" style="23" customWidth="1"/>
    <col min="7" max="7" width="18.33203125" style="23" customWidth="1"/>
    <col min="8" max="8" width="24" style="23" customWidth="1"/>
    <col min="9" max="9" width="30.83203125" style="23" customWidth="1"/>
    <col min="10" max="10" width="16.5" style="23" customWidth="1"/>
    <col min="11" max="16384" width="11.5" style="23"/>
  </cols>
  <sheetData>
    <row r="1" spans="1:10" ht="29.5" customHeight="1" x14ac:dyDescent="0.2">
      <c r="A1" s="26" t="s">
        <v>0</v>
      </c>
      <c r="B1" s="27"/>
      <c r="C1" s="28"/>
      <c r="D1" s="29" t="s">
        <v>1</v>
      </c>
      <c r="E1" s="30"/>
      <c r="F1" s="30"/>
      <c r="G1" s="30"/>
      <c r="H1" s="30"/>
      <c r="I1" s="30"/>
      <c r="J1" s="30"/>
    </row>
    <row r="2" spans="1:10" s="14" customFormat="1" ht="32.5" customHeight="1" x14ac:dyDescent="0.2">
      <c r="A2" s="11" t="s">
        <v>2</v>
      </c>
      <c r="B2" s="11" t="s">
        <v>3</v>
      </c>
      <c r="C2" s="12" t="s">
        <v>4</v>
      </c>
      <c r="D2" s="11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</row>
    <row r="3" spans="1:10" s="19" customFormat="1" ht="20" customHeight="1" x14ac:dyDescent="0.2">
      <c r="A3" s="15" t="s">
        <v>12</v>
      </c>
      <c r="B3" s="16">
        <f t="shared" ref="B3:B25" si="0">MONTH(C3)</f>
        <v>3</v>
      </c>
      <c r="C3" s="17">
        <v>46084</v>
      </c>
      <c r="D3" s="18" t="s">
        <v>13</v>
      </c>
      <c r="E3" s="15" t="s">
        <v>14</v>
      </c>
      <c r="F3" s="15" t="s">
        <v>15</v>
      </c>
      <c r="G3" s="15" t="s">
        <v>16</v>
      </c>
      <c r="H3" s="15" t="s">
        <v>17</v>
      </c>
      <c r="I3" s="15" t="s">
        <v>18</v>
      </c>
      <c r="J3" s="15" t="s">
        <v>19</v>
      </c>
    </row>
    <row r="4" spans="1:10" s="19" customFormat="1" ht="20" customHeight="1" x14ac:dyDescent="0.2">
      <c r="A4" s="20" t="s">
        <v>20</v>
      </c>
      <c r="B4" s="16">
        <f t="shared" si="0"/>
        <v>4</v>
      </c>
      <c r="C4" s="17">
        <v>46113</v>
      </c>
      <c r="D4" s="18" t="s">
        <v>21</v>
      </c>
      <c r="E4" s="15" t="s">
        <v>22</v>
      </c>
      <c r="F4" s="15"/>
      <c r="G4" s="15" t="s">
        <v>23</v>
      </c>
      <c r="H4" s="15"/>
      <c r="I4" s="15" t="s">
        <v>24</v>
      </c>
      <c r="J4" s="15" t="s">
        <v>25</v>
      </c>
    </row>
    <row r="5" spans="1:10" s="19" customFormat="1" ht="20" customHeight="1" x14ac:dyDescent="0.2">
      <c r="A5" s="20" t="s">
        <v>26</v>
      </c>
      <c r="B5" s="16">
        <f t="shared" si="0"/>
        <v>4</v>
      </c>
      <c r="C5" s="17">
        <v>46123</v>
      </c>
      <c r="D5" s="21" t="s">
        <v>27</v>
      </c>
      <c r="E5" s="20" t="s">
        <v>28</v>
      </c>
      <c r="F5" s="20" t="s">
        <v>29</v>
      </c>
      <c r="G5" s="15" t="s">
        <v>23</v>
      </c>
      <c r="H5" s="20" t="s">
        <v>30</v>
      </c>
      <c r="I5" s="20" t="s">
        <v>31</v>
      </c>
      <c r="J5" s="20" t="s">
        <v>32</v>
      </c>
    </row>
    <row r="6" spans="1:10" s="19" customFormat="1" ht="20" customHeight="1" x14ac:dyDescent="0.2">
      <c r="A6" s="20" t="s">
        <v>33</v>
      </c>
      <c r="B6" s="16">
        <f t="shared" ref="B6" si="1">MONTH(C6)</f>
        <v>5</v>
      </c>
      <c r="C6" s="22">
        <v>46155</v>
      </c>
      <c r="D6" s="20" t="s">
        <v>34</v>
      </c>
      <c r="E6" s="20" t="s">
        <v>35</v>
      </c>
      <c r="F6" s="20" t="s">
        <v>36</v>
      </c>
      <c r="G6" s="20" t="s">
        <v>37</v>
      </c>
      <c r="H6" s="20" t="s">
        <v>38</v>
      </c>
      <c r="I6" s="20" t="s">
        <v>39</v>
      </c>
      <c r="J6" s="20" t="s">
        <v>40</v>
      </c>
    </row>
    <row r="7" spans="1:10" s="19" customFormat="1" ht="20" customHeight="1" x14ac:dyDescent="0.2">
      <c r="A7" s="20" t="s">
        <v>41</v>
      </c>
      <c r="B7" s="16">
        <f t="shared" si="0"/>
        <v>5</v>
      </c>
      <c r="C7" s="22">
        <v>46165</v>
      </c>
      <c r="D7" s="21" t="s">
        <v>42</v>
      </c>
      <c r="E7" s="20" t="s">
        <v>43</v>
      </c>
      <c r="F7" s="20" t="s">
        <v>44</v>
      </c>
      <c r="G7" s="20" t="s">
        <v>45</v>
      </c>
      <c r="H7" s="20" t="s">
        <v>46</v>
      </c>
      <c r="I7" s="20" t="s">
        <v>47</v>
      </c>
      <c r="J7" s="20" t="s">
        <v>48</v>
      </c>
    </row>
    <row r="8" spans="1:10" s="19" customFormat="1" ht="20" customHeight="1" x14ac:dyDescent="0.2">
      <c r="A8" s="20" t="s">
        <v>49</v>
      </c>
      <c r="B8" s="16">
        <f t="shared" si="0"/>
        <v>6</v>
      </c>
      <c r="C8" s="22">
        <v>46177</v>
      </c>
      <c r="D8" s="21" t="s">
        <v>50</v>
      </c>
      <c r="E8" s="20" t="s">
        <v>51</v>
      </c>
      <c r="F8" s="20" t="s">
        <v>52</v>
      </c>
      <c r="G8" s="20" t="s">
        <v>23</v>
      </c>
      <c r="H8" s="20" t="s">
        <v>46</v>
      </c>
      <c r="I8" s="20" t="s">
        <v>53</v>
      </c>
      <c r="J8" s="20" t="s">
        <v>54</v>
      </c>
    </row>
    <row r="9" spans="1:10" s="19" customFormat="1" ht="20" customHeight="1" x14ac:dyDescent="0.2">
      <c r="A9" s="20" t="s">
        <v>55</v>
      </c>
      <c r="B9" s="16">
        <f t="shared" si="0"/>
        <v>6</v>
      </c>
      <c r="C9" s="22">
        <v>46179</v>
      </c>
      <c r="D9" s="21" t="s">
        <v>56</v>
      </c>
      <c r="E9" s="20" t="s">
        <v>57</v>
      </c>
      <c r="F9" s="20" t="s">
        <v>58</v>
      </c>
      <c r="G9" s="15" t="s">
        <v>23</v>
      </c>
      <c r="H9" s="20" t="s">
        <v>30</v>
      </c>
      <c r="I9" s="20" t="s">
        <v>59</v>
      </c>
      <c r="J9" s="20" t="s">
        <v>60</v>
      </c>
    </row>
    <row r="10" spans="1:10" s="19" customFormat="1" ht="20" customHeight="1" x14ac:dyDescent="0.2">
      <c r="A10" s="31" t="s">
        <v>211</v>
      </c>
      <c r="B10" s="16">
        <f t="shared" ref="B10" si="2">MONTH(C10)</f>
        <v>6</v>
      </c>
      <c r="C10" s="22">
        <v>46194</v>
      </c>
      <c r="D10" s="21" t="s">
        <v>212</v>
      </c>
      <c r="E10" s="20" t="s">
        <v>61</v>
      </c>
      <c r="F10" s="20" t="s">
        <v>62</v>
      </c>
      <c r="G10" s="15" t="s">
        <v>63</v>
      </c>
      <c r="H10" s="20" t="s">
        <v>64</v>
      </c>
      <c r="I10" s="20" t="s">
        <v>213</v>
      </c>
      <c r="J10" s="20" t="s">
        <v>65</v>
      </c>
    </row>
    <row r="11" spans="1:10" s="19" customFormat="1" ht="20" customHeight="1" x14ac:dyDescent="0.2">
      <c r="A11" s="20" t="s">
        <v>66</v>
      </c>
      <c r="B11" s="16">
        <f t="shared" ref="B11" si="3">MONTH(C11)</f>
        <v>7</v>
      </c>
      <c r="C11" s="22">
        <v>46212</v>
      </c>
      <c r="D11" s="21" t="s">
        <v>67</v>
      </c>
      <c r="E11" s="20" t="s">
        <v>68</v>
      </c>
      <c r="F11" s="20" t="s">
        <v>69</v>
      </c>
      <c r="G11" s="15" t="s">
        <v>70</v>
      </c>
      <c r="H11" s="20" t="s">
        <v>71</v>
      </c>
      <c r="I11" s="20" t="s">
        <v>72</v>
      </c>
      <c r="J11" s="20" t="s">
        <v>73</v>
      </c>
    </row>
    <row r="12" spans="1:10" s="19" customFormat="1" ht="20" customHeight="1" x14ac:dyDescent="0.2">
      <c r="A12" s="20" t="s">
        <v>74</v>
      </c>
      <c r="B12" s="16">
        <f t="shared" ref="B12:B13" si="4">MONTH(C12)</f>
        <v>8</v>
      </c>
      <c r="C12" s="22">
        <v>46252</v>
      </c>
      <c r="D12" s="21" t="s">
        <v>75</v>
      </c>
      <c r="E12" s="20" t="s">
        <v>76</v>
      </c>
      <c r="F12" s="20" t="s">
        <v>77</v>
      </c>
      <c r="G12" s="15" t="s">
        <v>78</v>
      </c>
      <c r="H12" s="23" t="s">
        <v>79</v>
      </c>
      <c r="I12" s="20" t="s">
        <v>80</v>
      </c>
      <c r="J12" s="20" t="s">
        <v>81</v>
      </c>
    </row>
    <row r="13" spans="1:10" s="19" customFormat="1" ht="20" customHeight="1" x14ac:dyDescent="0.2">
      <c r="A13" s="20" t="s">
        <v>82</v>
      </c>
      <c r="B13" s="16">
        <f t="shared" si="4"/>
        <v>8</v>
      </c>
      <c r="C13" s="22">
        <v>46261</v>
      </c>
      <c r="D13" s="21" t="s">
        <v>83</v>
      </c>
      <c r="E13" s="20" t="s">
        <v>84</v>
      </c>
      <c r="F13" s="20" t="s">
        <v>85</v>
      </c>
      <c r="G13" s="20" t="s">
        <v>16</v>
      </c>
      <c r="H13" s="20" t="s">
        <v>86</v>
      </c>
      <c r="I13" s="20" t="s">
        <v>87</v>
      </c>
      <c r="J13" s="20" t="s">
        <v>88</v>
      </c>
    </row>
    <row r="14" spans="1:10" s="19" customFormat="1" ht="20" customHeight="1" x14ac:dyDescent="0.2">
      <c r="A14" s="20" t="s">
        <v>89</v>
      </c>
      <c r="B14" s="16">
        <f t="shared" si="0"/>
        <v>9</v>
      </c>
      <c r="C14" s="22">
        <v>46269</v>
      </c>
      <c r="D14" s="21" t="s">
        <v>90</v>
      </c>
      <c r="E14" s="20" t="s">
        <v>91</v>
      </c>
      <c r="F14" s="20" t="s">
        <v>92</v>
      </c>
      <c r="G14" s="20" t="s">
        <v>16</v>
      </c>
      <c r="H14" s="20" t="s">
        <v>93</v>
      </c>
      <c r="I14" s="20" t="s">
        <v>94</v>
      </c>
      <c r="J14" s="20" t="s">
        <v>95</v>
      </c>
    </row>
    <row r="15" spans="1:10" s="19" customFormat="1" ht="20" customHeight="1" x14ac:dyDescent="0.2">
      <c r="A15" s="20" t="s">
        <v>96</v>
      </c>
      <c r="B15" s="16">
        <f t="shared" si="0"/>
        <v>9</v>
      </c>
      <c r="C15" s="22">
        <v>46283</v>
      </c>
      <c r="D15" s="21" t="s">
        <v>97</v>
      </c>
      <c r="E15" s="20" t="s">
        <v>98</v>
      </c>
      <c r="F15" s="20" t="s">
        <v>99</v>
      </c>
      <c r="G15" s="20" t="s">
        <v>16</v>
      </c>
      <c r="H15" s="20" t="s">
        <v>46</v>
      </c>
      <c r="I15" s="20" t="s">
        <v>100</v>
      </c>
      <c r="J15" s="20" t="s">
        <v>101</v>
      </c>
    </row>
    <row r="16" spans="1:10" s="19" customFormat="1" ht="20" customHeight="1" x14ac:dyDescent="0.2">
      <c r="A16" s="20" t="s">
        <v>102</v>
      </c>
      <c r="B16" s="16">
        <f t="shared" si="0"/>
        <v>10</v>
      </c>
      <c r="C16" s="22">
        <v>46299</v>
      </c>
      <c r="D16" s="21" t="s">
        <v>103</v>
      </c>
      <c r="E16" s="20" t="s">
        <v>104</v>
      </c>
      <c r="F16" s="20" t="s">
        <v>105</v>
      </c>
      <c r="G16" s="20" t="s">
        <v>45</v>
      </c>
      <c r="H16" s="20" t="s">
        <v>106</v>
      </c>
      <c r="I16" s="20" t="s">
        <v>107</v>
      </c>
      <c r="J16" s="20" t="s">
        <v>108</v>
      </c>
    </row>
    <row r="17" spans="1:10" s="19" customFormat="1" ht="20" customHeight="1" x14ac:dyDescent="0.2">
      <c r="A17" s="20" t="s">
        <v>109</v>
      </c>
      <c r="B17" s="16">
        <f>MONTH(C17)</f>
        <v>10</v>
      </c>
      <c r="C17" s="22">
        <v>46324</v>
      </c>
      <c r="D17" s="21" t="s">
        <v>110</v>
      </c>
      <c r="E17" s="20" t="s">
        <v>111</v>
      </c>
      <c r="F17" s="20" t="s">
        <v>112</v>
      </c>
      <c r="G17" s="15" t="s">
        <v>45</v>
      </c>
      <c r="H17" s="20" t="s">
        <v>113</v>
      </c>
      <c r="I17" s="20" t="s">
        <v>114</v>
      </c>
      <c r="J17" s="20" t="s">
        <v>115</v>
      </c>
    </row>
    <row r="18" spans="1:10" s="19" customFormat="1" ht="20" customHeight="1" x14ac:dyDescent="0.2">
      <c r="A18" s="20" t="s">
        <v>116</v>
      </c>
      <c r="B18" s="16">
        <f>MONTH(C18)</f>
        <v>11</v>
      </c>
      <c r="C18" s="22">
        <v>46327</v>
      </c>
      <c r="D18" s="21" t="s">
        <v>117</v>
      </c>
      <c r="E18" s="20" t="s">
        <v>118</v>
      </c>
      <c r="F18" s="20" t="s">
        <v>119</v>
      </c>
      <c r="G18" s="15" t="s">
        <v>45</v>
      </c>
      <c r="H18" s="20"/>
      <c r="I18" s="20" t="s">
        <v>120</v>
      </c>
      <c r="J18" s="20" t="s">
        <v>121</v>
      </c>
    </row>
    <row r="19" spans="1:10" s="19" customFormat="1" ht="20" customHeight="1" x14ac:dyDescent="0.2">
      <c r="A19" s="20" t="s">
        <v>122</v>
      </c>
      <c r="B19" s="16">
        <f t="shared" si="0"/>
        <v>11</v>
      </c>
      <c r="C19" s="22">
        <v>46336</v>
      </c>
      <c r="D19" s="21" t="s">
        <v>123</v>
      </c>
      <c r="E19" s="20" t="s">
        <v>124</v>
      </c>
      <c r="F19" s="20" t="s">
        <v>125</v>
      </c>
      <c r="G19" s="20" t="s">
        <v>37</v>
      </c>
      <c r="H19" s="20" t="s">
        <v>126</v>
      </c>
      <c r="I19" s="20" t="s">
        <v>127</v>
      </c>
      <c r="J19" s="20" t="s">
        <v>128</v>
      </c>
    </row>
    <row r="20" spans="1:10" s="19" customFormat="1" ht="20" customHeight="1" x14ac:dyDescent="0.2">
      <c r="A20" s="20" t="s">
        <v>129</v>
      </c>
      <c r="B20" s="16">
        <f t="shared" si="0"/>
        <v>11</v>
      </c>
      <c r="C20" s="22">
        <v>46340</v>
      </c>
      <c r="D20" s="21" t="s">
        <v>130</v>
      </c>
      <c r="E20" s="20" t="s">
        <v>131</v>
      </c>
      <c r="F20" s="20" t="s">
        <v>132</v>
      </c>
      <c r="G20" s="20" t="s">
        <v>16</v>
      </c>
      <c r="H20" s="20" t="s">
        <v>133</v>
      </c>
      <c r="I20" s="20" t="s">
        <v>134</v>
      </c>
      <c r="J20" s="20" t="s">
        <v>135</v>
      </c>
    </row>
    <row r="21" spans="1:10" s="19" customFormat="1" ht="20" customHeight="1" x14ac:dyDescent="0.2">
      <c r="A21" s="31" t="s">
        <v>214</v>
      </c>
      <c r="B21" s="16">
        <f t="shared" ref="B21" si="5">MONTH(C21)</f>
        <v>11</v>
      </c>
      <c r="C21" s="22">
        <v>46346</v>
      </c>
      <c r="D21" s="21" t="s">
        <v>215</v>
      </c>
      <c r="E21" s="20" t="s">
        <v>216</v>
      </c>
      <c r="F21" s="20" t="s">
        <v>217</v>
      </c>
      <c r="G21" s="20" t="s">
        <v>16</v>
      </c>
      <c r="H21" s="20" t="s">
        <v>220</v>
      </c>
      <c r="I21" s="20" t="s">
        <v>218</v>
      </c>
      <c r="J21" s="20" t="s">
        <v>219</v>
      </c>
    </row>
    <row r="22" spans="1:10" s="19" customFormat="1" ht="20" customHeight="1" x14ac:dyDescent="0.2">
      <c r="A22" s="20" t="s">
        <v>136</v>
      </c>
      <c r="B22" s="16">
        <f t="shared" si="0"/>
        <v>11</v>
      </c>
      <c r="C22" s="22">
        <v>46353</v>
      </c>
      <c r="D22" s="21" t="s">
        <v>137</v>
      </c>
      <c r="E22" s="20" t="s">
        <v>138</v>
      </c>
      <c r="F22" s="20" t="s">
        <v>139</v>
      </c>
      <c r="G22" s="20" t="s">
        <v>45</v>
      </c>
      <c r="H22" s="20" t="s">
        <v>140</v>
      </c>
      <c r="I22" s="20" t="s">
        <v>141</v>
      </c>
      <c r="J22" s="20" t="s">
        <v>142</v>
      </c>
    </row>
    <row r="23" spans="1:10" s="19" customFormat="1" ht="20" customHeight="1" x14ac:dyDescent="0.2">
      <c r="A23" s="20" t="s">
        <v>143</v>
      </c>
      <c r="B23" s="16">
        <f t="shared" si="0"/>
        <v>12</v>
      </c>
      <c r="C23" s="22">
        <v>46358</v>
      </c>
      <c r="D23" s="21" t="s">
        <v>144</v>
      </c>
      <c r="E23" s="20" t="s">
        <v>145</v>
      </c>
      <c r="F23" s="20" t="s">
        <v>146</v>
      </c>
      <c r="G23" s="20" t="s">
        <v>16</v>
      </c>
      <c r="H23" s="20" t="s">
        <v>46</v>
      </c>
      <c r="I23" s="20" t="s">
        <v>147</v>
      </c>
      <c r="J23" s="20" t="s">
        <v>148</v>
      </c>
    </row>
    <row r="24" spans="1:10" s="19" customFormat="1" ht="20" customHeight="1" x14ac:dyDescent="0.2">
      <c r="A24" s="20" t="s">
        <v>149</v>
      </c>
      <c r="B24" s="16">
        <f t="shared" si="0"/>
        <v>12</v>
      </c>
      <c r="C24" s="22">
        <v>46373</v>
      </c>
      <c r="D24" s="18" t="s">
        <v>150</v>
      </c>
      <c r="E24" s="15" t="s">
        <v>151</v>
      </c>
      <c r="F24" s="15" t="s">
        <v>152</v>
      </c>
      <c r="G24" s="15" t="s">
        <v>45</v>
      </c>
      <c r="H24" s="15" t="s">
        <v>153</v>
      </c>
      <c r="I24" s="15" t="s">
        <v>154</v>
      </c>
      <c r="J24" s="15" t="s">
        <v>155</v>
      </c>
    </row>
    <row r="25" spans="1:10" s="19" customFormat="1" ht="20" customHeight="1" x14ac:dyDescent="0.2">
      <c r="A25" s="20" t="s">
        <v>156</v>
      </c>
      <c r="B25" s="16">
        <f t="shared" si="0"/>
        <v>12</v>
      </c>
      <c r="C25" s="22">
        <v>46385</v>
      </c>
      <c r="D25" s="18" t="s">
        <v>157</v>
      </c>
      <c r="E25" s="15" t="s">
        <v>158</v>
      </c>
      <c r="F25" s="15" t="s">
        <v>159</v>
      </c>
      <c r="G25" s="15" t="s">
        <v>160</v>
      </c>
      <c r="H25" s="15" t="s">
        <v>161</v>
      </c>
      <c r="I25" s="15" t="s">
        <v>162</v>
      </c>
      <c r="J25" s="15" t="s">
        <v>163</v>
      </c>
    </row>
  </sheetData>
  <autoFilter ref="A2:J24" xr:uid="{A56E0E2C-335A-48A6-AEB5-B213FB031D43}"/>
  <pageMargins left="0.51181102362204722" right="0.51181102362204722" top="1.1417322834645669" bottom="0.74803149606299213" header="0.70866141732283472" footer="0.31496062992125984"/>
  <pageSetup scale="52" orientation="landscape" r:id="rId1"/>
  <headerFooter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B8C8-A984-425E-B7F2-5C8365082FD3}">
  <sheetPr>
    <pageSetUpPr fitToPage="1"/>
  </sheetPr>
  <dimension ref="A1:F24"/>
  <sheetViews>
    <sheetView topLeftCell="B1" zoomScaleNormal="100" workbookViewId="0">
      <selection activeCell="F19" sqref="F19"/>
    </sheetView>
  </sheetViews>
  <sheetFormatPr baseColWidth="10" defaultColWidth="11.5" defaultRowHeight="15" x14ac:dyDescent="0.2"/>
  <cols>
    <col min="1" max="1" width="6.6640625" style="1" hidden="1" customWidth="1"/>
    <col min="2" max="2" width="4.5" style="1" customWidth="1"/>
    <col min="3" max="3" width="31.5" style="1" customWidth="1"/>
    <col min="4" max="4" width="6.6640625" style="1" customWidth="1"/>
    <col min="5" max="5" width="31.1640625" style="8" customWidth="1"/>
    <col min="6" max="6" width="24.5" style="1" customWidth="1"/>
    <col min="7" max="7" width="8.5" style="1" customWidth="1"/>
    <col min="8" max="16384" width="11.5" style="1"/>
  </cols>
  <sheetData>
    <row r="1" spans="1:6" ht="17" customHeight="1" x14ac:dyDescent="0.2">
      <c r="A1" s="5" t="s">
        <v>164</v>
      </c>
      <c r="B1" s="6" t="s">
        <v>165</v>
      </c>
      <c r="C1" s="6" t="s">
        <v>2</v>
      </c>
      <c r="D1" s="6" t="s">
        <v>3</v>
      </c>
      <c r="E1" s="7" t="s">
        <v>166</v>
      </c>
      <c r="F1" s="6" t="s">
        <v>167</v>
      </c>
    </row>
    <row r="2" spans="1:6" ht="16" x14ac:dyDescent="0.2">
      <c r="A2" s="4">
        <v>3</v>
      </c>
      <c r="B2" s="2">
        <v>1</v>
      </c>
      <c r="C2" s="2" t="s">
        <v>168</v>
      </c>
      <c r="D2" s="2">
        <f t="shared" ref="D2:D23" si="0">MONTH(E2)</f>
        <v>3</v>
      </c>
      <c r="E2" s="3">
        <v>46084</v>
      </c>
      <c r="F2" s="3" t="s">
        <v>169</v>
      </c>
    </row>
    <row r="3" spans="1:6" ht="16" x14ac:dyDescent="0.2">
      <c r="A3" s="4">
        <v>4</v>
      </c>
      <c r="B3" s="2">
        <v>2</v>
      </c>
      <c r="C3" s="9" t="s">
        <v>170</v>
      </c>
      <c r="D3" s="2">
        <f t="shared" si="0"/>
        <v>4</v>
      </c>
      <c r="E3" s="10">
        <v>46113</v>
      </c>
      <c r="F3" s="3" t="s">
        <v>171</v>
      </c>
    </row>
    <row r="4" spans="1:6" ht="16" x14ac:dyDescent="0.2">
      <c r="A4" s="4">
        <v>7</v>
      </c>
      <c r="B4" s="2">
        <v>3</v>
      </c>
      <c r="C4" s="2" t="s">
        <v>172</v>
      </c>
      <c r="D4" s="2">
        <f t="shared" si="0"/>
        <v>4</v>
      </c>
      <c r="E4" s="3">
        <v>46123</v>
      </c>
      <c r="F4" s="3" t="s">
        <v>173</v>
      </c>
    </row>
    <row r="5" spans="1:6" ht="16" x14ac:dyDescent="0.2">
      <c r="A5" s="4">
        <v>9</v>
      </c>
      <c r="B5" s="2">
        <v>4</v>
      </c>
      <c r="C5" s="2" t="s">
        <v>174</v>
      </c>
      <c r="D5" s="2">
        <f t="shared" si="0"/>
        <v>5</v>
      </c>
      <c r="E5" s="3">
        <v>46155</v>
      </c>
      <c r="F5" s="3" t="s">
        <v>175</v>
      </c>
    </row>
    <row r="6" spans="1:6" ht="16" x14ac:dyDescent="0.2">
      <c r="A6" s="4">
        <v>12</v>
      </c>
      <c r="B6" s="2">
        <v>5</v>
      </c>
      <c r="C6" s="2" t="s">
        <v>176</v>
      </c>
      <c r="D6" s="2">
        <f t="shared" si="0"/>
        <v>5</v>
      </c>
      <c r="E6" s="3">
        <v>46165</v>
      </c>
      <c r="F6" s="3" t="s">
        <v>177</v>
      </c>
    </row>
    <row r="7" spans="1:6" ht="16" x14ac:dyDescent="0.2">
      <c r="A7" s="4">
        <v>14</v>
      </c>
      <c r="B7" s="2">
        <v>6</v>
      </c>
      <c r="C7" s="9" t="s">
        <v>178</v>
      </c>
      <c r="D7" s="9">
        <f t="shared" si="0"/>
        <v>6</v>
      </c>
      <c r="E7" s="10">
        <v>46177</v>
      </c>
      <c r="F7" s="10" t="s">
        <v>50</v>
      </c>
    </row>
    <row r="8" spans="1:6" ht="16" x14ac:dyDescent="0.2">
      <c r="A8" s="4">
        <v>15</v>
      </c>
      <c r="B8" s="2">
        <v>7</v>
      </c>
      <c r="C8" s="9" t="s">
        <v>179</v>
      </c>
      <c r="D8" s="2">
        <f t="shared" si="0"/>
        <v>6</v>
      </c>
      <c r="E8" s="10">
        <v>46179</v>
      </c>
      <c r="F8" s="10" t="s">
        <v>180</v>
      </c>
    </row>
    <row r="9" spans="1:6" ht="16" x14ac:dyDescent="0.2">
      <c r="A9" s="4"/>
      <c r="B9" s="2">
        <v>8</v>
      </c>
      <c r="C9" s="2" t="s">
        <v>181</v>
      </c>
      <c r="D9" s="2">
        <f t="shared" si="0"/>
        <v>7</v>
      </c>
      <c r="E9" s="3">
        <v>46212</v>
      </c>
      <c r="F9" s="3" t="s">
        <v>182</v>
      </c>
    </row>
    <row r="10" spans="1:6" ht="16" x14ac:dyDescent="0.2">
      <c r="A10" s="4"/>
      <c r="B10" s="2">
        <v>9</v>
      </c>
      <c r="C10" s="32" t="s">
        <v>183</v>
      </c>
      <c r="D10" s="2">
        <f>MONTH(E10)</f>
        <v>6</v>
      </c>
      <c r="E10" s="3">
        <v>46194</v>
      </c>
      <c r="F10" s="33" t="s">
        <v>184</v>
      </c>
    </row>
    <row r="11" spans="1:6" ht="16" x14ac:dyDescent="0.2">
      <c r="A11" s="4">
        <v>16</v>
      </c>
      <c r="B11" s="2">
        <v>10</v>
      </c>
      <c r="C11" s="2" t="s">
        <v>185</v>
      </c>
      <c r="D11" s="2">
        <f t="shared" si="0"/>
        <v>8</v>
      </c>
      <c r="E11" s="3">
        <v>46252</v>
      </c>
      <c r="F11" s="3" t="s">
        <v>186</v>
      </c>
    </row>
    <row r="12" spans="1:6" ht="16" x14ac:dyDescent="0.2">
      <c r="A12" s="4">
        <v>17</v>
      </c>
      <c r="B12" s="2">
        <v>11</v>
      </c>
      <c r="C12" s="2" t="s">
        <v>187</v>
      </c>
      <c r="D12" s="2">
        <f t="shared" si="0"/>
        <v>8</v>
      </c>
      <c r="E12" s="3">
        <v>46261</v>
      </c>
      <c r="F12" s="3" t="s">
        <v>188</v>
      </c>
    </row>
    <row r="13" spans="1:6" ht="16" x14ac:dyDescent="0.2">
      <c r="A13" s="4">
        <v>20</v>
      </c>
      <c r="B13" s="2">
        <v>12</v>
      </c>
      <c r="C13" s="2" t="s">
        <v>189</v>
      </c>
      <c r="D13" s="2">
        <f t="shared" si="0"/>
        <v>9</v>
      </c>
      <c r="E13" s="3">
        <v>46269</v>
      </c>
      <c r="F13" s="3" t="s">
        <v>190</v>
      </c>
    </row>
    <row r="14" spans="1:6" ht="16" x14ac:dyDescent="0.2">
      <c r="A14" s="4">
        <v>21</v>
      </c>
      <c r="B14" s="2">
        <v>13</v>
      </c>
      <c r="C14" s="2" t="s">
        <v>191</v>
      </c>
      <c r="D14" s="2">
        <f t="shared" si="0"/>
        <v>9</v>
      </c>
      <c r="E14" s="3">
        <v>46283</v>
      </c>
      <c r="F14" s="3" t="s">
        <v>192</v>
      </c>
    </row>
    <row r="15" spans="1:6" ht="16" x14ac:dyDescent="0.2">
      <c r="A15" s="4">
        <v>23</v>
      </c>
      <c r="B15" s="2">
        <v>14</v>
      </c>
      <c r="C15" s="2" t="s">
        <v>193</v>
      </c>
      <c r="D15" s="2">
        <f t="shared" si="0"/>
        <v>10</v>
      </c>
      <c r="E15" s="3">
        <v>46299</v>
      </c>
      <c r="F15" s="3" t="s">
        <v>194</v>
      </c>
    </row>
    <row r="16" spans="1:6" ht="16" x14ac:dyDescent="0.2">
      <c r="A16" s="4"/>
      <c r="B16" s="2">
        <v>15</v>
      </c>
      <c r="C16" s="2" t="s">
        <v>195</v>
      </c>
      <c r="D16" s="2">
        <f t="shared" si="0"/>
        <v>10</v>
      </c>
      <c r="E16" s="3">
        <v>46324</v>
      </c>
      <c r="F16" s="3" t="s">
        <v>196</v>
      </c>
    </row>
    <row r="17" spans="1:6" ht="16" x14ac:dyDescent="0.2">
      <c r="A17" s="4">
        <v>24</v>
      </c>
      <c r="B17" s="2">
        <v>16</v>
      </c>
      <c r="C17" s="2" t="s">
        <v>197</v>
      </c>
      <c r="D17" s="2">
        <f t="shared" si="0"/>
        <v>11</v>
      </c>
      <c r="E17" s="3">
        <v>46327</v>
      </c>
      <c r="F17" s="3" t="s">
        <v>198</v>
      </c>
    </row>
    <row r="18" spans="1:6" ht="16" x14ac:dyDescent="0.2">
      <c r="A18" s="4"/>
      <c r="B18" s="2">
        <v>17</v>
      </c>
      <c r="C18" s="2" t="s">
        <v>199</v>
      </c>
      <c r="D18" s="2">
        <f t="shared" si="0"/>
        <v>11</v>
      </c>
      <c r="E18" s="3">
        <v>46336</v>
      </c>
      <c r="F18" s="3" t="s">
        <v>200</v>
      </c>
    </row>
    <row r="19" spans="1:6" ht="16" x14ac:dyDescent="0.2">
      <c r="A19" s="4"/>
      <c r="B19" s="2">
        <v>18</v>
      </c>
      <c r="C19" s="2" t="s">
        <v>201</v>
      </c>
      <c r="D19" s="2">
        <f t="shared" si="0"/>
        <v>11</v>
      </c>
      <c r="E19" s="3">
        <v>46340</v>
      </c>
      <c r="F19" s="3" t="s">
        <v>202</v>
      </c>
    </row>
    <row r="20" spans="1:6" ht="16" x14ac:dyDescent="0.2">
      <c r="A20" s="4"/>
      <c r="B20" s="2">
        <v>19</v>
      </c>
      <c r="C20" s="32" t="s">
        <v>214</v>
      </c>
      <c r="D20" s="2">
        <f t="shared" si="0"/>
        <v>11</v>
      </c>
      <c r="E20" s="3">
        <v>46346</v>
      </c>
      <c r="F20" s="33" t="s">
        <v>215</v>
      </c>
    </row>
    <row r="21" spans="1:6" ht="16" x14ac:dyDescent="0.2">
      <c r="A21" s="4"/>
      <c r="B21" s="2">
        <v>20</v>
      </c>
      <c r="C21" s="2" t="s">
        <v>203</v>
      </c>
      <c r="D21" s="2">
        <f t="shared" si="0"/>
        <v>11</v>
      </c>
      <c r="E21" s="3">
        <v>46353</v>
      </c>
      <c r="F21" s="3" t="s">
        <v>204</v>
      </c>
    </row>
    <row r="22" spans="1:6" ht="16" x14ac:dyDescent="0.2">
      <c r="A22" s="4"/>
      <c r="B22" s="2">
        <v>21</v>
      </c>
      <c r="C22" s="2" t="s">
        <v>205</v>
      </c>
      <c r="D22" s="2">
        <f t="shared" si="0"/>
        <v>12</v>
      </c>
      <c r="E22" s="3">
        <v>46358</v>
      </c>
      <c r="F22" s="3" t="s">
        <v>206</v>
      </c>
    </row>
    <row r="23" spans="1:6" ht="16" x14ac:dyDescent="0.2">
      <c r="A23" s="4"/>
      <c r="B23" s="2">
        <v>22</v>
      </c>
      <c r="C23" s="2" t="s">
        <v>207</v>
      </c>
      <c r="D23" s="2">
        <f t="shared" si="0"/>
        <v>12</v>
      </c>
      <c r="E23" s="3">
        <v>46373</v>
      </c>
      <c r="F23" s="3" t="s">
        <v>208</v>
      </c>
    </row>
    <row r="24" spans="1:6" ht="16" x14ac:dyDescent="0.2">
      <c r="A24" s="4"/>
      <c r="B24" s="2">
        <v>23</v>
      </c>
      <c r="C24" s="2" t="s">
        <v>209</v>
      </c>
      <c r="D24" s="2">
        <f>MONTH(E24)</f>
        <v>12</v>
      </c>
      <c r="E24" s="3">
        <v>46385</v>
      </c>
      <c r="F24" s="3" t="s">
        <v>210</v>
      </c>
    </row>
  </sheetData>
  <pageMargins left="0.31496062992125984" right="0.31496062992125984" top="1.1417322834645669" bottom="0.74803149606299213" header="0.51181102362204722" footer="0.31496062992125984"/>
  <pageSetup scale="98" orientation="portrait" r:id="rId1"/>
  <headerFooter>
    <oddHeader>&amp;L&amp;A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Cumples + datos bancarios</vt:lpstr>
      <vt:lpstr>Fechas de cumples 2026</vt:lpstr>
      <vt:lpstr>'Cumples + datos bancarios'!Print_Area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Rodriguez</dc:creator>
  <cp:keywords>CUMPLES 2024 3º A</cp:keywords>
  <dc:description/>
  <cp:lastModifiedBy>Nicolas Gil</cp:lastModifiedBy>
  <cp:revision/>
  <dcterms:created xsi:type="dcterms:W3CDTF">2021-02-12T16:48:54Z</dcterms:created>
  <dcterms:modified xsi:type="dcterms:W3CDTF">2026-05-04T17:48:44Z</dcterms:modified>
  <cp:category/>
  <cp:contentStatus/>
</cp:coreProperties>
</file>